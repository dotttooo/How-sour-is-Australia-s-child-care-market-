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.sharepoint.com/teams/DorothyHonoursThesis/Shared Documents/General/Dorothy - Honour's Thesis - Documents/Data/NQS/"/>
    </mc:Choice>
  </mc:AlternateContent>
  <xr:revisionPtr revIDLastSave="201" documentId="8_{610C0771-9249-40BC-80D7-7C9FBCEDFD7E}" xr6:coauthVersionLast="47" xr6:coauthVersionMax="47" xr10:uidLastSave="{29FC4603-AF1B-4E44-AE73-C7B0B299CF1D}"/>
  <bookViews>
    <workbookView xWindow="3210" yWindow="-16320" windowWidth="29040" windowHeight="15720" xr2:uid="{C71FC9DB-2B08-4CA5-AB11-5F87AC2E7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60" i="1" l="1"/>
  <c r="E56" i="1"/>
  <c r="E51" i="1"/>
  <c r="E47" i="1"/>
  <c r="E43" i="1"/>
  <c r="E40" i="1"/>
  <c r="E33" i="1"/>
  <c r="E28" i="1"/>
  <c r="E25" i="1"/>
  <c r="E20" i="1"/>
  <c r="E16" i="1"/>
  <c r="E11" i="1"/>
  <c r="E7" i="1"/>
  <c r="E3" i="1"/>
  <c r="C65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E46" i="1" l="1"/>
  <c r="E39" i="1"/>
  <c r="E32" i="1"/>
  <c r="E15" i="1"/>
  <c r="E2" i="1" l="1"/>
  <c r="E24" i="1"/>
  <c r="E55" i="1"/>
</calcChain>
</file>

<file path=xl/sharedStrings.xml><?xml version="1.0" encoding="utf-8"?>
<sst xmlns="http://schemas.openxmlformats.org/spreadsheetml/2006/main" count="348" uniqueCount="220">
  <si>
    <t>QA</t>
  </si>
  <si>
    <t>Concept</t>
  </si>
  <si>
    <t>Descriptor</t>
  </si>
  <si>
    <t>Literature Classification</t>
  </si>
  <si>
    <t>Author's Classification</t>
  </si>
  <si>
    <t xml:space="preserve">Third Party / Expert Classification </t>
  </si>
  <si>
    <t>QA1 Educational program and practice</t>
  </si>
  <si>
    <t>1.1 Program The educational program enhances each child’s learning and development.</t>
  </si>
  <si>
    <t>1.2 Practice Educators facilitate and extend each child’s learning and development.</t>
  </si>
  <si>
    <t>1.2.1 Intentional teaching Educators are deliberate, purposeful, and thoughtful in their decisions and actions.</t>
  </si>
  <si>
    <t>1.3.3 Information for families Families are informed about the program and their child's progress.</t>
  </si>
  <si>
    <t>QA2 Children’s health and safety</t>
  </si>
  <si>
    <t>2.1 Health Each child’s health and physical activity is supported and promoted.</t>
  </si>
  <si>
    <t>2.1.3 Healthy lifestyle Healthy eating and physical activity are promoted and appropriate for each child.</t>
  </si>
  <si>
    <t>2.2 Safety Each child is protected.</t>
  </si>
  <si>
    <t>QA3 Physical environment</t>
  </si>
  <si>
    <t>3.1 Design The design of the facilities is appropriate for the operation of a service.</t>
  </si>
  <si>
    <t>3.1.2 Upkeep Premises, furniture and equipment are safe, clean and well maintained.</t>
  </si>
  <si>
    <t>Raw</t>
  </si>
  <si>
    <t>Educational program and practice</t>
  </si>
  <si>
    <t>Children’s health and safety</t>
  </si>
  <si>
    <t>Physical environment</t>
  </si>
  <si>
    <t>QA4 Staffing arrangements</t>
  </si>
  <si>
    <t>4.1 Staffing arrangements Staffing arrangements enhance children's learning and development.</t>
  </si>
  <si>
    <t>4.2 Professionalism Management, educators and staff are collaborative, respectful and ethical.</t>
  </si>
  <si>
    <t>4.2.2 Professional standards Professional standards guide practice, interactions and relationships.</t>
  </si>
  <si>
    <t>QA5 Relationships with children</t>
  </si>
  <si>
    <t>Respectful and equitable relationships are maintained with each child.</t>
  </si>
  <si>
    <t>5.1.2 Dignity and rights of the child The dignity and rights of every child are maintained.</t>
  </si>
  <si>
    <t>5.2 Relationships between children Each child is supported to build and maintain sensitive and responsive relationships.</t>
  </si>
  <si>
    <t>5.2.1 Collaborative learning Children are supported to collaborate, learn from and help each other.</t>
  </si>
  <si>
    <t>QA6 Collaborative partnerships with families and communities</t>
  </si>
  <si>
    <t>6.2 Collaborative partnerships Collaborative partnerships enhance children’s inclusion, learning and wellbeing.</t>
  </si>
  <si>
    <t>6.2.3 Community engagement The service builds relationships and engages with its community.</t>
  </si>
  <si>
    <t>QA7 Governance and Leadership</t>
  </si>
  <si>
    <t>7.1 Governance Governance supports the operation of a quality service.</t>
  </si>
  <si>
    <t>7.1.1 Service philosophy and purpose A statement of philosophy guides all aspects of the service’s operations.</t>
  </si>
  <si>
    <t>7.2.1 Continuous improvement There is an effective self-assessment and quality improvement process in place.</t>
  </si>
  <si>
    <t>1.1.1 Approved learning framework Curriculum decision-making contributes to each child’s learning and development outcomes in relation to their identity, connection with community, wellbeing, confidence as learners and effectiveness as communicators.</t>
  </si>
  <si>
    <t>1.1.2 Child-centred Each child’s current knowledge, strengths, ideas, culture, abilities and interests are the foundation of the program.</t>
  </si>
  <si>
    <t>1.1.3 Program learning opportunities All aspects of the program, including routines, are organised in ways that maximise opportunities for each child’s learning.</t>
  </si>
  <si>
    <t>1.2.2 Responsive teaching and scaffolding Educators respond to children’s ideas and play and extend children’s learning through open-ended questions, interactions and feedback.</t>
  </si>
  <si>
    <t>1.2.3 Child directed learning Each child's agency is promoted, enabling them to make choices and decisions that influence events and their world.</t>
  </si>
  <si>
    <t>1.3 Assessment and planning Educators and co-ordinators take a planned and reflective approach to implementing the program for each child.</t>
  </si>
  <si>
    <t>1.3.1 Assessment and planning cycle Each child’s learning and development is assessed or evaluated as part of an ongoing cycle of observation, analysing learning, documentation, planning, implementation and reflection.</t>
  </si>
  <si>
    <t>1.3.2 Critical reflection Critical reflection on children’s learning and development, both as individuals and in groups, drives program planning and implementation.</t>
  </si>
  <si>
    <t>2.1.1 Wellbeing and comfort Each child’s wellbeing and comfort is provided for, including appropriate opportunities to meet each child’s need for sleep, rest and relaxation.</t>
  </si>
  <si>
    <t>2.1.2 Health practices and procedures Effective illness and injury management and hygiene practices are promoted and implemented.</t>
  </si>
  <si>
    <t>2.2.1 Supervision At all times, reasonable precautions and adequate supervision ensure children are protected from harm and hazard.</t>
  </si>
  <si>
    <t>2.2.2 Incident and emergency management Plans to effectively manage incidents and emergencies are developed in consultation with relevant authorities, practised and implemented.</t>
  </si>
  <si>
    <t>2.2.3 Child protection Management, educators and staff are aware of their roles and responsibilities to identify and respond to every child at risk of abuse or neglect.</t>
  </si>
  <si>
    <t>3.1.1 Fit for purpose Outdoor and indoor spaces, buildings, fixtures and fittings are suitable for their purpose, including supporting the access of every child.</t>
  </si>
  <si>
    <t>3.2 Use The service environment is inclusive, promotes competence and supports exploration and play-based learning.</t>
  </si>
  <si>
    <t>3.2.1 Inclusive environment Outdoor and indoor spaces are organised and adapted to support every child's participation and to engage every child in quality experiences in both built and natural environments.</t>
  </si>
  <si>
    <t>3.2.2 Resources support play-based learning Resources, materials and equipment allow for multiple uses, are sufficient in number, and enable every child to engage in play-based learning.</t>
  </si>
  <si>
    <t>3.2.3 Environmentally responsible The service cares for the environment and supports children to become environmentally responsible.</t>
  </si>
  <si>
    <t>4.1.1 Organisation of educators The organisation of educators across the service supports children's learning and development.</t>
  </si>
  <si>
    <t>4.1.2 Continuity of staff Every effort is made for children to experience continuity of educators at the service.</t>
  </si>
  <si>
    <t>4.2.1 Professional collaboration Management, educators and staff work with mutual respect and collaboratively, and challenge and learn from each other, recognising each other’s strengths and skills.</t>
  </si>
  <si>
    <t>5.1 Relationships between educators and children Respectful and equitable relationships are maintained with each child.</t>
  </si>
  <si>
    <t>5.1.1 Positive educator to child interactions Responsive and meaningful interactions build trusting relationships which engage and support each child to feel secure, confident and included.</t>
  </si>
  <si>
    <t>5.2.2 Self-regulation Each child is supported to regulate their own behaviour, respond appropriately to the behaviour of others and communicate effectively to resolve conflicts.</t>
  </si>
  <si>
    <t>6.1 Supportive relationships with families Respectful relationships with families are developed and maintained and families are supported in their parenting role.</t>
  </si>
  <si>
    <t>6.1.1 Engagement with the service Families are supported from enrolment to be involved in the service and contribute to service decisions.</t>
  </si>
  <si>
    <t xml:space="preserve">6.1.2 Parent views are respected The expertise, culture, values and beliefs of families are respected and families share in decision-making about their child’s learning and wellbeing. </t>
  </si>
  <si>
    <t>6.1.3 Families are supported Current information is available to families about the service and relevant community services and resources to support parenting and family wellbeing.</t>
  </si>
  <si>
    <t>6.2.1 Transitions Continuity of learning and transitions for each child are supported by sharing information and clarifying responsibilities.</t>
  </si>
  <si>
    <t>7.1.2 Management systems Systems are in place to manage risk and enable the effective management and operation of a quality service.</t>
  </si>
  <si>
    <t>7.1.3 Roles and responsibilities Roles and responsibilities are clearly defined, and understood, and support effective decision-making and operation of the service.</t>
  </si>
  <si>
    <t>7.2 Leadership Effective leadership builds and promotes a positive organisational culture and professional learning community.</t>
  </si>
  <si>
    <t>7.2.2 Educational leadership The educational leader is supported and leads the development and implementation of the educational program and assessment and planning cycle.</t>
  </si>
  <si>
    <t>7.2.3 Development of professionals Educators, co-ordinators and staff members’ performance is regularly evaluated and individual plans are in place to support learning and development.</t>
  </si>
  <si>
    <t>6.2.2 Access and participation Effective partnerships support children's access, inclusion and participation in the program.</t>
  </si>
  <si>
    <t>Staffing arrangements</t>
  </si>
  <si>
    <t>Relationships with children</t>
  </si>
  <si>
    <t>Collaborative partnerships with families and communities</t>
  </si>
  <si>
    <t>Governance and Leadership</t>
  </si>
  <si>
    <t xml:space="preserve">Program </t>
  </si>
  <si>
    <t>The educational program enhances each child’s learning and development.</t>
  </si>
  <si>
    <t>Educators respond to children’s ideas and play and extend children’s learning through open-ended questions, interactions and feedback.</t>
  </si>
  <si>
    <t>Each child’s learning and development is assessed or evaluated as part of an ongoing cycle of observation, analysing learning, documentation, planning, implementation and reflection.</t>
  </si>
  <si>
    <t>Effective illness and injury management and hygiene practices are promoted and implemented.</t>
  </si>
  <si>
    <t>Plans to effectively manage incidents and emergencies are developed in consultation with relevant authorities, practised and implemented.</t>
  </si>
  <si>
    <t>Resources, materials and equipment allow for multiple uses, are sufficient in number, and enable every child to engage in play-based learning.</t>
  </si>
  <si>
    <t>Respectful relationships with families are developed and maintained and families are supported in their parenting role.</t>
  </si>
  <si>
    <t xml:space="preserve">The expertise, culture, values and beliefs of families are respected and families share in decision-making about their child’s learning and wellbeing. </t>
  </si>
  <si>
    <t>A statement of philosophy guides all aspects of the service’s operations.</t>
  </si>
  <si>
    <t>Educators are deliberate, purposeful, and thoughtful in their decisions and actions.</t>
  </si>
  <si>
    <t>Critical reflection on children’s learning and development, both as individuals and in groups, drives program planning and implementation.</t>
  </si>
  <si>
    <t>Healthy eating and physical activity are promoted and appropriate for each child.</t>
  </si>
  <si>
    <t>Management, educators and staff are aware of their roles and responsibilities to identify and respond to every child at risk of abuse or neglect.</t>
  </si>
  <si>
    <t>Outdoor and indoor spaces are organised and adapted to support every child's participation and to engage every child in quality experiences in both built and natural environments.</t>
  </si>
  <si>
    <t>The service cares for the environment and supports children to become environmentally responsible.</t>
  </si>
  <si>
    <t>Staffing arrangements enhance children's learning and development.</t>
  </si>
  <si>
    <t>Management, educators and staff work with mutual respect and collaboratively, and challenge and learn from each other, recognising each other’s strengths and skills.</t>
  </si>
  <si>
    <t>Professional standards guide practice, interactions and relationships.</t>
  </si>
  <si>
    <t>Children are supported to collaborate, learn from and help each other.</t>
  </si>
  <si>
    <t>Collaborative partnerships enhance children’s inclusion, learning and wellbeing.</t>
  </si>
  <si>
    <t>The service builds relationships and engages with its community.</t>
  </si>
  <si>
    <t>Systems are in place to manage risk and enable the effective management and operation of a quality service.</t>
  </si>
  <si>
    <t>There is an effective self-assessment and quality improvement process in place.</t>
  </si>
  <si>
    <t>The educational leader is supported and leads the development and implementation of the educational program and assessment and planning cycle.</t>
  </si>
  <si>
    <t>Curriculum decision-making contributes to each child’s learning and development outcomes in relation to their identity, connection with community, wellbeing, confidence as learners and effectiveness as communicators.</t>
  </si>
  <si>
    <t>All aspects of the program, including routines, are organised in ways that maximise opportunities for each child’s learning.</t>
  </si>
  <si>
    <t>Each child's agency is promoted, enabling them to make choices and decisions that influence events and their world.</t>
  </si>
  <si>
    <t>Educators and co-ordinators take a planned and reflective approach to implementing the program for each child.</t>
  </si>
  <si>
    <t>Families are informed about the program and their child's progress.</t>
  </si>
  <si>
    <t>Each child’s wellbeing and comfort is provided for, including appropriate opportunities to meet each child’s need for sleep, rest and relaxation.</t>
  </si>
  <si>
    <t>Outdoor and indoor spaces, buildings, fixtures and fittings are suitable for their purpose, including supporting the access of every child.</t>
  </si>
  <si>
    <t>The organisation of educators across the service supports children's learning and development.</t>
  </si>
  <si>
    <t>Every effort is made for children to experience continuity of educators at the service.</t>
  </si>
  <si>
    <t>Each child is supported to build and maintain sensitive and responsive relationships.</t>
  </si>
  <si>
    <t>Current information is available to families about the service and relevant community services and resources to support parenting and family wellbeing.</t>
  </si>
  <si>
    <t>Effective partnerships support children's access, inclusion and participation in the program.</t>
  </si>
  <si>
    <t>Roles and responsibilities are clearly defined, and understood, and support effective decision-making and operation of the service.</t>
  </si>
  <si>
    <t>Educators, co-ordinators and staff members’ performance is regularly evaluated and individual plans are in place to support learning and development.</t>
  </si>
  <si>
    <t>Each child’s current knowledge, strengths, ideas, culture, abilities and interests are the foundation of the program.</t>
  </si>
  <si>
    <t>Educators facilitate and extend each child’s learning and development.</t>
  </si>
  <si>
    <t>Each child’s health and physical activity is supported and promoted.</t>
  </si>
  <si>
    <t>Each child is protected.</t>
  </si>
  <si>
    <t>At all times, reasonable precautions and adequate supervision ensure children are protected from harm and hazard.</t>
  </si>
  <si>
    <t>The design of the facilities is appropriate for the operation of a service.</t>
  </si>
  <si>
    <t>Premises, furniture and equipment are safe, clean and well maintained.</t>
  </si>
  <si>
    <t>The service environment is inclusive, promotes competence and supports exploration and play-based learning.</t>
  </si>
  <si>
    <t>Management, educators and staff are collaborative, respectful and ethical.</t>
  </si>
  <si>
    <t>Each child is supported to regulate their own behaviour, respond appropriately to the behaviour of others and communicate effectively to resolve conflicts.</t>
  </si>
  <si>
    <t>Continuity of learning and transitions for each child are supported by sharing information and clarifying responsibilities.</t>
  </si>
  <si>
    <t>Governance supports the operation of a quality service.</t>
  </si>
  <si>
    <t>Effective leadership builds and promotes a positive organisational culture and professional learning community.</t>
  </si>
  <si>
    <t/>
  </si>
  <si>
    <t xml:space="preserve">Approved learning framework </t>
  </si>
  <si>
    <t xml:space="preserve">Child-centred </t>
  </si>
  <si>
    <t xml:space="preserve">Relationships between educators and children </t>
  </si>
  <si>
    <t xml:space="preserve">Positive educator to child interactions </t>
  </si>
  <si>
    <t>Responsive and meaningful interactions build trusting relationships which engage and support each child to feel secure, confident and included.</t>
  </si>
  <si>
    <t xml:space="preserve">Dignity and rights of the child </t>
  </si>
  <si>
    <t>The dignity and rights of every child are maintained.</t>
  </si>
  <si>
    <t xml:space="preserve">Engagement with the service </t>
  </si>
  <si>
    <t>Families are supported from enrolment to be involved in the service and contribute to service decisions.</t>
  </si>
  <si>
    <t xml:space="preserve">Program learning opportunities </t>
  </si>
  <si>
    <t>Practice</t>
  </si>
  <si>
    <t>Intentional teaching</t>
  </si>
  <si>
    <t xml:space="preserve">Responsive teaching and scaffolding </t>
  </si>
  <si>
    <t>Child directed learning</t>
  </si>
  <si>
    <t xml:space="preserve">Assessment and planning </t>
  </si>
  <si>
    <t xml:space="preserve">Assessment and planning cycle </t>
  </si>
  <si>
    <t xml:space="preserve">Critical reflection </t>
  </si>
  <si>
    <t xml:space="preserve">Information for families </t>
  </si>
  <si>
    <t xml:space="preserve">Health </t>
  </si>
  <si>
    <t xml:space="preserve">Wellbeing and comfort </t>
  </si>
  <si>
    <t xml:space="preserve">Health practices and procedures </t>
  </si>
  <si>
    <t xml:space="preserve">Healthy lifestyle </t>
  </si>
  <si>
    <t xml:space="preserve">Safety </t>
  </si>
  <si>
    <t xml:space="preserve">Supervision </t>
  </si>
  <si>
    <t xml:space="preserve">Incident and emergency management </t>
  </si>
  <si>
    <t xml:space="preserve">Child protection </t>
  </si>
  <si>
    <t xml:space="preserve">Design </t>
  </si>
  <si>
    <t>Fit for purpose</t>
  </si>
  <si>
    <t xml:space="preserve">Upkeep </t>
  </si>
  <si>
    <t>Use</t>
  </si>
  <si>
    <t xml:space="preserve">Inclusive environment </t>
  </si>
  <si>
    <t xml:space="preserve">Resources support play-based learning </t>
  </si>
  <si>
    <t xml:space="preserve">Environmentally responsible </t>
  </si>
  <si>
    <t xml:space="preserve">Staffing arrangements </t>
  </si>
  <si>
    <t xml:space="preserve">Organisation of educators </t>
  </si>
  <si>
    <t xml:space="preserve">Continuity of staff </t>
  </si>
  <si>
    <t xml:space="preserve">Professionalism </t>
  </si>
  <si>
    <t xml:space="preserve">Professional collaboration </t>
  </si>
  <si>
    <t xml:space="preserve">Professional standards </t>
  </si>
  <si>
    <t xml:space="preserve">Relationships between children </t>
  </si>
  <si>
    <t xml:space="preserve">Collaborative learning </t>
  </si>
  <si>
    <t xml:space="preserve">Self-regulation </t>
  </si>
  <si>
    <t xml:space="preserve">Supportive relationships with families </t>
  </si>
  <si>
    <t xml:space="preserve">Parent views are respected </t>
  </si>
  <si>
    <t xml:space="preserve">Families are supported </t>
  </si>
  <si>
    <t xml:space="preserve">Collaborative partnerships </t>
  </si>
  <si>
    <t xml:space="preserve">Transitions </t>
  </si>
  <si>
    <t xml:space="preserve">Access and participation </t>
  </si>
  <si>
    <t xml:space="preserve">Community engagement </t>
  </si>
  <si>
    <t xml:space="preserve">Governance </t>
  </si>
  <si>
    <t>Service philosophy and purpose</t>
  </si>
  <si>
    <t xml:space="preserve">Management systems </t>
  </si>
  <si>
    <t xml:space="preserve">Roles and responsibilities </t>
  </si>
  <si>
    <t xml:space="preserve">Leadership </t>
  </si>
  <si>
    <t xml:space="preserve">Continuous improvement </t>
  </si>
  <si>
    <t xml:space="preserve">Educational leadership </t>
  </si>
  <si>
    <t xml:space="preserve">Development of professionals </t>
  </si>
  <si>
    <t>Parent</t>
  </si>
  <si>
    <t>Non-Parent</t>
  </si>
  <si>
    <t>Quality Area Classification</t>
  </si>
  <si>
    <t>Parentally Visible</t>
  </si>
  <si>
    <t>AERO flag for developmental vulnerability</t>
  </si>
  <si>
    <t>Importance to Child's development</t>
  </si>
  <si>
    <t>Literature Classification2</t>
  </si>
  <si>
    <t>REFER TO E4KIDZ RESEARCH</t>
  </si>
  <si>
    <t>Y</t>
  </si>
  <si>
    <t>N</t>
  </si>
  <si>
    <t>Parents can evaluate the personalisation of the curriculum</t>
  </si>
  <si>
    <t xml:space="preserve">Parents cannot evaluate child confidence in classroom </t>
  </si>
  <si>
    <t>Parents can view routine program</t>
  </si>
  <si>
    <t>Parents can observe educator interaction with child and educators provide reports</t>
  </si>
  <si>
    <t>Parents can observe educators  but less child</t>
  </si>
  <si>
    <t>StoryPark and other app based platforms provide transparency</t>
  </si>
  <si>
    <t>This is something that occurs within management</t>
  </si>
  <si>
    <t>Parents can observe the day to day routine plans</t>
  </si>
  <si>
    <t>Can observe the physical environment of hygeine practices but does not observe the educators and staff</t>
  </si>
  <si>
    <t>Meal plans are observed but not physical activity</t>
  </si>
  <si>
    <t>Parents do not observe staff training</t>
  </si>
  <si>
    <t>Visible during site visits</t>
  </si>
  <si>
    <t>Staff roster may be available to parents but most of the time not</t>
  </si>
  <si>
    <t>Parents observe same staff when drop off and pick up and can infer</t>
  </si>
  <si>
    <t>Parents can infer from staff interaction</t>
  </si>
  <si>
    <t>While there are logs, it is not 100 % visible to observe</t>
  </si>
  <si>
    <t>Yes, this section is parent directed</t>
  </si>
  <si>
    <t>Parents can usually google this on child care centre websites</t>
  </si>
  <si>
    <t>Risk management is not parent facing</t>
  </si>
  <si>
    <t>Staff training is not parentally observable</t>
  </si>
  <si>
    <t>Staff review and standards is not parentally observable</t>
  </si>
  <si>
    <t>Staff internal support</t>
  </si>
  <si>
    <t>Staff internal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</si>
</sst>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F13380-9DB5-441E-9E99-6E8A786F836A}" name="Table1" displayName="Table1" ref="A1:J63" totalsRowShown="0" headerRowDxfId="6">
  <autoFilter ref="A1:J63" xr:uid="{5FF13380-9DB5-441E-9E99-6E8A786F836A}"/>
  <tableColumns count="10">
    <tableColumn id="1" xr3:uid="{D91DAA12-E020-48E4-B41C-F1DC26A3AC48}" name="Raw"/>
    <tableColumn id="2" xr3:uid="{13B02C65-5FFA-4D84-9212-CD374144363B}" name="QA">
      <calculatedColumnFormula>LEFT(A2, FIND(" ",A2) - 1)</calculatedColumnFormula>
    </tableColumn>
    <tableColumn id="3" xr3:uid="{0181A1D3-84A0-4304-B496-1B9F0084D19E}" name="Concept" dataDxfId="5"/>
    <tableColumn id="4" xr3:uid="{C50D7373-1452-453A-83DE-06EA07E2269E}" name="Descriptor" dataDxfId="4"/>
    <tableColumn id="5" xr3:uid="{6FEB8AFD-6108-4ECD-9911-AD54A7765DEC}" name="Author's Classification" dataDxfId="3"/>
    <tableColumn id="6" xr3:uid="{38BB5C62-39E1-4ED1-BAAA-1E402062714B}" name="Literature Classification" dataDxfId="2"/>
    <tableColumn id="10" xr3:uid="{85BAC750-446F-4992-8DE3-9EE8A62A8BAA}" name="Importance to Child's development"/>
    <tableColumn id="9" xr3:uid="{D9F50A8C-E309-4126-8D19-1D479C998194}" name="Literature Classification2"/>
    <tableColumn id="7" xr3:uid="{B6E5ED65-3784-408C-9D25-9E807B1C2651}" name="Third Party / Expert Classification " dataDxfId="1"/>
    <tableColumn id="8" xr3:uid="{815AE6F0-6955-46BB-B6D1-7BF5FA902A43}" name="Quality Area Classification" dataDxfId="0">
      <calculatedColumnFormula>IF(COUNTIF($E$3:$E$14,"Parent")/COUNTA($E$3:$E$14)&gt;0.5,"Parent","Non-Parent")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3144-5A70-4F45-896B-4138B5360502}">
  <dimension ref="A1:J65"/>
  <sheetViews>
    <sheetView tabSelected="1" topLeftCell="B1" zoomScale="70" zoomScaleNormal="70" workbookViewId="0">
      <selection activeCell="I57" sqref="I57"/>
    </sheetView>
  </sheetViews>
  <sheetFormatPr defaultRowHeight="14.6" x14ac:dyDescent="0.4"/>
  <cols>
    <col min="1" max="1" width="207.765625" hidden="1" customWidth="1"/>
    <col min="2" max="2" width="5" bestFit="1" customWidth="1"/>
    <col min="3" max="3" width="33" style="2" customWidth="1"/>
    <col min="4" max="4" width="42.3828125" customWidth="1"/>
    <col min="5" max="5" width="21.53515625" customWidth="1"/>
    <col min="6" max="6" width="22.69140625" customWidth="1"/>
    <col min="7" max="7" width="22.69140625" hidden="1" customWidth="1"/>
    <col min="8" max="8" width="22.69140625" customWidth="1"/>
    <col min="9" max="9" width="30.61328125" customWidth="1"/>
  </cols>
  <sheetData>
    <row r="1" spans="1:10" s="1" customFormat="1" x14ac:dyDescent="0.4">
      <c r="A1" s="1" t="s">
        <v>18</v>
      </c>
      <c r="B1" s="1" t="s">
        <v>0</v>
      </c>
      <c r="C1" s="3" t="s">
        <v>1</v>
      </c>
      <c r="D1" s="1" t="s">
        <v>2</v>
      </c>
      <c r="E1" s="1" t="s">
        <v>4</v>
      </c>
      <c r="F1" s="1" t="s">
        <v>3</v>
      </c>
      <c r="G1" s="1" t="s">
        <v>192</v>
      </c>
      <c r="H1" s="1" t="s">
        <v>193</v>
      </c>
      <c r="I1" s="1" t="s">
        <v>5</v>
      </c>
      <c r="J1" s="1" t="s">
        <v>189</v>
      </c>
    </row>
    <row r="2" spans="1:10" x14ac:dyDescent="0.4">
      <c r="A2" t="s">
        <v>6</v>
      </c>
      <c r="B2" t="str">
        <f>LEFT(A2, FIND(" ",A2) - 1)</f>
        <v>QA1</v>
      </c>
      <c r="C2" s="2" t="s">
        <v>19</v>
      </c>
      <c r="D2" s="2" t="s">
        <v>129</v>
      </c>
      <c r="E2" t="str">
        <f>IF(COUNTIF($E$3:$E$14,"Parent")/COUNTA($E$3:$E$14)&gt;0.5,"Parent","Non-Parent")</f>
        <v>Parent</v>
      </c>
      <c r="F2" t="s">
        <v>190</v>
      </c>
      <c r="H2" t="s">
        <v>194</v>
      </c>
      <c r="I2" t="s">
        <v>191</v>
      </c>
    </row>
    <row r="3" spans="1:10" ht="29.15" x14ac:dyDescent="0.4">
      <c r="A3" t="s">
        <v>7</v>
      </c>
      <c r="B3" t="str">
        <f t="shared" ref="B3:B31" si="0">LEFT(A3, FIND(" ",A3) - 1)</f>
        <v>1.1</v>
      </c>
      <c r="C3" s="2" t="s">
        <v>77</v>
      </c>
      <c r="D3" s="2" t="s">
        <v>78</v>
      </c>
      <c r="E3" t="str">
        <f>IF(COUNTIF($E$4:$E$6,"Parent")/COUNTA($E$4:$E$6)&gt;0.5,"Parent","Non-Parent")</f>
        <v>Parent</v>
      </c>
      <c r="G3" t="s">
        <v>195</v>
      </c>
    </row>
    <row r="4" spans="1:10" ht="72.900000000000006" x14ac:dyDescent="0.4">
      <c r="A4" t="s">
        <v>38</v>
      </c>
      <c r="B4" t="str">
        <f t="shared" si="0"/>
        <v>1.1.1</v>
      </c>
      <c r="C4" s="2" t="s">
        <v>130</v>
      </c>
      <c r="D4" s="2" t="s">
        <v>102</v>
      </c>
      <c r="E4" t="s">
        <v>188</v>
      </c>
      <c r="G4" t="s">
        <v>195</v>
      </c>
      <c r="I4" t="s">
        <v>198</v>
      </c>
    </row>
    <row r="5" spans="1:10" ht="43.75" x14ac:dyDescent="0.4">
      <c r="A5" t="s">
        <v>39</v>
      </c>
      <c r="B5" t="str">
        <f t="shared" si="0"/>
        <v>1.1.2</v>
      </c>
      <c r="C5" s="2" t="s">
        <v>131</v>
      </c>
      <c r="D5" s="2" t="s">
        <v>116</v>
      </c>
      <c r="E5" t="s">
        <v>187</v>
      </c>
      <c r="G5" t="s">
        <v>195</v>
      </c>
      <c r="I5" t="s">
        <v>197</v>
      </c>
    </row>
    <row r="6" spans="1:10" ht="43.75" x14ac:dyDescent="0.4">
      <c r="A6" t="s">
        <v>40</v>
      </c>
      <c r="B6" t="str">
        <f t="shared" si="0"/>
        <v>1.1.3</v>
      </c>
      <c r="C6" s="2" t="s">
        <v>139</v>
      </c>
      <c r="D6" s="2" t="s">
        <v>103</v>
      </c>
      <c r="E6" t="s">
        <v>187</v>
      </c>
      <c r="G6" t="s">
        <v>195</v>
      </c>
      <c r="I6" t="s">
        <v>199</v>
      </c>
    </row>
    <row r="7" spans="1:10" ht="29.15" x14ac:dyDescent="0.4">
      <c r="A7" t="s">
        <v>8</v>
      </c>
      <c r="B7" t="str">
        <f t="shared" si="0"/>
        <v>1.2</v>
      </c>
      <c r="C7" s="2" t="s">
        <v>140</v>
      </c>
      <c r="D7" s="2" t="s">
        <v>117</v>
      </c>
      <c r="E7" t="str">
        <f>IF(COUNTIF($E$8:$E$10,"Parent")/COUNTA($E$8:$E$10)&gt;0.5,"Parent","Non-Parent")</f>
        <v>Parent</v>
      </c>
      <c r="G7" t="s">
        <v>195</v>
      </c>
      <c r="I7" t="s">
        <v>200</v>
      </c>
    </row>
    <row r="8" spans="1:10" ht="29.15" x14ac:dyDescent="0.4">
      <c r="A8" t="s">
        <v>9</v>
      </c>
      <c r="B8" t="str">
        <f t="shared" si="0"/>
        <v>1.2.1</v>
      </c>
      <c r="C8" s="2" t="s">
        <v>141</v>
      </c>
      <c r="D8" s="2" t="s">
        <v>87</v>
      </c>
      <c r="E8" t="s">
        <v>187</v>
      </c>
      <c r="G8" t="s">
        <v>195</v>
      </c>
      <c r="I8" t="s">
        <v>200</v>
      </c>
    </row>
    <row r="9" spans="1:10" ht="43.75" x14ac:dyDescent="0.4">
      <c r="A9" t="s">
        <v>41</v>
      </c>
      <c r="B9" t="str">
        <f t="shared" si="0"/>
        <v>1.2.2</v>
      </c>
      <c r="C9" s="2" t="s">
        <v>142</v>
      </c>
      <c r="D9" s="2" t="s">
        <v>79</v>
      </c>
      <c r="E9" t="s">
        <v>187</v>
      </c>
      <c r="G9" t="s">
        <v>195</v>
      </c>
      <c r="I9" t="s">
        <v>200</v>
      </c>
    </row>
    <row r="10" spans="1:10" ht="43.75" x14ac:dyDescent="0.4">
      <c r="A10" t="s">
        <v>42</v>
      </c>
      <c r="B10" t="str">
        <f t="shared" si="0"/>
        <v>1.2.3</v>
      </c>
      <c r="C10" s="2" t="s">
        <v>143</v>
      </c>
      <c r="D10" s="2" t="s">
        <v>104</v>
      </c>
      <c r="E10" t="s">
        <v>188</v>
      </c>
      <c r="G10" t="s">
        <v>195</v>
      </c>
      <c r="I10" t="s">
        <v>201</v>
      </c>
    </row>
    <row r="11" spans="1:10" ht="43.75" x14ac:dyDescent="0.4">
      <c r="A11" t="s">
        <v>43</v>
      </c>
      <c r="B11" t="str">
        <f t="shared" si="0"/>
        <v>1.3</v>
      </c>
      <c r="C11" s="2" t="s">
        <v>144</v>
      </c>
      <c r="D11" s="2" t="s">
        <v>105</v>
      </c>
      <c r="E11" t="str">
        <f>IF(COUNTIF($E$12:$E$14,"Parent")/COUNTA($E$12:$E$14)&gt;0.5,"Parent","Non-Parent")</f>
        <v>Parent</v>
      </c>
      <c r="G11" t="s">
        <v>195</v>
      </c>
      <c r="I11" t="s">
        <v>202</v>
      </c>
    </row>
    <row r="12" spans="1:10" ht="58.3" x14ac:dyDescent="0.4">
      <c r="A12" t="s">
        <v>44</v>
      </c>
      <c r="B12" t="str">
        <f t="shared" si="0"/>
        <v>1.3.1</v>
      </c>
      <c r="C12" s="2" t="s">
        <v>145</v>
      </c>
      <c r="D12" s="2" t="s">
        <v>80</v>
      </c>
      <c r="E12" t="s">
        <v>187</v>
      </c>
      <c r="G12" t="s">
        <v>195</v>
      </c>
      <c r="I12" t="s">
        <v>202</v>
      </c>
    </row>
    <row r="13" spans="1:10" ht="43.75" x14ac:dyDescent="0.4">
      <c r="A13" t="s">
        <v>45</v>
      </c>
      <c r="B13" t="str">
        <f t="shared" si="0"/>
        <v>1.3.2</v>
      </c>
      <c r="C13" s="2" t="s">
        <v>146</v>
      </c>
      <c r="D13" s="2" t="s">
        <v>88</v>
      </c>
      <c r="E13" t="s">
        <v>188</v>
      </c>
      <c r="G13" t="s">
        <v>195</v>
      </c>
      <c r="I13" t="s">
        <v>203</v>
      </c>
    </row>
    <row r="14" spans="1:10" ht="29.15" x14ac:dyDescent="0.4">
      <c r="A14" t="s">
        <v>10</v>
      </c>
      <c r="B14" t="str">
        <f t="shared" si="0"/>
        <v>1.3.3</v>
      </c>
      <c r="C14" s="2" t="s">
        <v>147</v>
      </c>
      <c r="D14" s="2" t="s">
        <v>106</v>
      </c>
      <c r="E14" t="s">
        <v>187</v>
      </c>
      <c r="I14" t="s">
        <v>202</v>
      </c>
    </row>
    <row r="15" spans="1:10" x14ac:dyDescent="0.4">
      <c r="A15" t="s">
        <v>11</v>
      </c>
      <c r="B15" t="str">
        <f t="shared" si="0"/>
        <v>QA2</v>
      </c>
      <c r="C15" s="2" t="s">
        <v>20</v>
      </c>
      <c r="D15" s="2" t="s">
        <v>129</v>
      </c>
      <c r="E15" t="str">
        <f>IF(COUNTIF($E$16:$E$23,"Parent")/COUNTA($E$16:$E$23)&gt;0.5,"Parent","Non-Parent")</f>
        <v>Non-Parent</v>
      </c>
    </row>
    <row r="16" spans="1:10" ht="29.15" x14ac:dyDescent="0.4">
      <c r="A16" t="s">
        <v>12</v>
      </c>
      <c r="B16" t="str">
        <f t="shared" si="0"/>
        <v>2.1</v>
      </c>
      <c r="C16" s="2" t="s">
        <v>148</v>
      </c>
      <c r="D16" s="2" t="s">
        <v>118</v>
      </c>
      <c r="E16" t="str">
        <f>IF(COUNTIF($E$17:$E$19,"Parent")/COUNTA($E$17:$E$19)&gt;0.5,"Parent","Non-Parent")</f>
        <v>Non-Parent</v>
      </c>
      <c r="G16" t="s">
        <v>195</v>
      </c>
    </row>
    <row r="17" spans="1:9" ht="43.75" x14ac:dyDescent="0.4">
      <c r="A17" t="s">
        <v>46</v>
      </c>
      <c r="B17" t="str">
        <f t="shared" si="0"/>
        <v>2.1.1</v>
      </c>
      <c r="C17" s="2" t="s">
        <v>149</v>
      </c>
      <c r="D17" s="2" t="s">
        <v>107</v>
      </c>
      <c r="E17" t="s">
        <v>187</v>
      </c>
      <c r="G17" t="s">
        <v>195</v>
      </c>
      <c r="I17" t="s">
        <v>204</v>
      </c>
    </row>
    <row r="18" spans="1:9" ht="29.15" x14ac:dyDescent="0.4">
      <c r="A18" t="s">
        <v>47</v>
      </c>
      <c r="B18" t="str">
        <f t="shared" si="0"/>
        <v>2.1.2</v>
      </c>
      <c r="C18" s="2" t="s">
        <v>150</v>
      </c>
      <c r="D18" s="2" t="s">
        <v>81</v>
      </c>
      <c r="E18" t="s">
        <v>188</v>
      </c>
      <c r="G18" t="s">
        <v>195</v>
      </c>
      <c r="I18" t="s">
        <v>205</v>
      </c>
    </row>
    <row r="19" spans="1:9" ht="29.15" x14ac:dyDescent="0.4">
      <c r="A19" t="s">
        <v>13</v>
      </c>
      <c r="B19" t="str">
        <f t="shared" si="0"/>
        <v>2.1.3</v>
      </c>
      <c r="C19" s="2" t="s">
        <v>151</v>
      </c>
      <c r="D19" s="2" t="s">
        <v>89</v>
      </c>
      <c r="E19" t="s">
        <v>188</v>
      </c>
      <c r="G19" t="s">
        <v>195</v>
      </c>
      <c r="I19" t="s">
        <v>206</v>
      </c>
    </row>
    <row r="20" spans="1:9" x14ac:dyDescent="0.4">
      <c r="A20" t="s">
        <v>14</v>
      </c>
      <c r="B20" t="str">
        <f t="shared" si="0"/>
        <v>2.2</v>
      </c>
      <c r="C20" s="2" t="s">
        <v>152</v>
      </c>
      <c r="D20" s="2" t="s">
        <v>119</v>
      </c>
      <c r="E20" t="str">
        <f>IF(COUNTIF($E$21:$E$23,"Parent")/COUNTA($E$21:$E$23)&gt;0.5,"Parent","Non-Parent")</f>
        <v>Non-Parent</v>
      </c>
      <c r="G20" t="s">
        <v>195</v>
      </c>
    </row>
    <row r="21" spans="1:9" ht="43.75" x14ac:dyDescent="0.4">
      <c r="A21" t="s">
        <v>48</v>
      </c>
      <c r="B21" t="str">
        <f t="shared" si="0"/>
        <v>2.2.1</v>
      </c>
      <c r="C21" s="2" t="s">
        <v>153</v>
      </c>
      <c r="D21" s="2" t="s">
        <v>120</v>
      </c>
      <c r="E21" t="s">
        <v>187</v>
      </c>
      <c r="G21" t="s">
        <v>195</v>
      </c>
    </row>
    <row r="22" spans="1:9" ht="43.75" x14ac:dyDescent="0.4">
      <c r="A22" t="s">
        <v>49</v>
      </c>
      <c r="B22" t="str">
        <f t="shared" si="0"/>
        <v>2.2.2</v>
      </c>
      <c r="C22" s="2" t="s">
        <v>154</v>
      </c>
      <c r="D22" s="2" t="s">
        <v>82</v>
      </c>
      <c r="E22" t="s">
        <v>188</v>
      </c>
      <c r="G22" t="s">
        <v>195</v>
      </c>
      <c r="I22" t="s">
        <v>207</v>
      </c>
    </row>
    <row r="23" spans="1:9" ht="43.75" x14ac:dyDescent="0.4">
      <c r="A23" t="s">
        <v>50</v>
      </c>
      <c r="B23" t="str">
        <f t="shared" si="0"/>
        <v>2.2.3</v>
      </c>
      <c r="C23" s="2" t="s">
        <v>155</v>
      </c>
      <c r="D23" s="2" t="s">
        <v>90</v>
      </c>
      <c r="E23" t="s">
        <v>188</v>
      </c>
      <c r="G23" t="s">
        <v>195</v>
      </c>
      <c r="I23" t="s">
        <v>207</v>
      </c>
    </row>
    <row r="24" spans="1:9" x14ac:dyDescent="0.4">
      <c r="A24" t="s">
        <v>15</v>
      </c>
      <c r="B24" t="str">
        <f t="shared" si="0"/>
        <v>QA3</v>
      </c>
      <c r="C24" s="2" t="s">
        <v>21</v>
      </c>
      <c r="D24" s="2" t="s">
        <v>129</v>
      </c>
      <c r="E24" t="str">
        <f>IF(COUNTIF($E$25:$E$31,"Parent")/COUNTA($E$25:$E$31)&gt;0.5,"Parent","Non-Parent")</f>
        <v>Parent</v>
      </c>
      <c r="F24" t="s">
        <v>190</v>
      </c>
      <c r="I24" t="s">
        <v>191</v>
      </c>
    </row>
    <row r="25" spans="1:9" ht="29.15" x14ac:dyDescent="0.4">
      <c r="A25" t="s">
        <v>16</v>
      </c>
      <c r="B25" t="str">
        <f t="shared" si="0"/>
        <v>3.1</v>
      </c>
      <c r="C25" s="2" t="s">
        <v>156</v>
      </c>
      <c r="D25" s="2" t="s">
        <v>121</v>
      </c>
      <c r="E25" t="str">
        <f>IF(COUNTIF($E$26:$E$27,"Parent")/COUNTA($E$26:$E$27)&gt;0.5,"Parent","Non-Parent")</f>
        <v>Parent</v>
      </c>
      <c r="G25" t="s">
        <v>196</v>
      </c>
      <c r="I25" t="s">
        <v>208</v>
      </c>
    </row>
    <row r="26" spans="1:9" ht="43.75" x14ac:dyDescent="0.4">
      <c r="A26" t="s">
        <v>51</v>
      </c>
      <c r="B26" t="str">
        <f t="shared" si="0"/>
        <v>3.1.1</v>
      </c>
      <c r="C26" s="2" t="s">
        <v>157</v>
      </c>
      <c r="D26" s="2" t="s">
        <v>108</v>
      </c>
      <c r="E26" t="s">
        <v>187</v>
      </c>
      <c r="G26" t="s">
        <v>195</v>
      </c>
      <c r="I26" t="s">
        <v>208</v>
      </c>
    </row>
    <row r="27" spans="1:9" ht="29.15" x14ac:dyDescent="0.4">
      <c r="A27" t="s">
        <v>17</v>
      </c>
      <c r="B27" t="str">
        <f t="shared" si="0"/>
        <v>3.1.2</v>
      </c>
      <c r="C27" s="2" t="s">
        <v>158</v>
      </c>
      <c r="D27" s="2" t="s">
        <v>122</v>
      </c>
      <c r="E27" t="s">
        <v>187</v>
      </c>
      <c r="G27" t="s">
        <v>195</v>
      </c>
      <c r="I27" t="s">
        <v>208</v>
      </c>
    </row>
    <row r="28" spans="1:9" ht="43.75" x14ac:dyDescent="0.4">
      <c r="A28" t="s">
        <v>52</v>
      </c>
      <c r="B28" t="str">
        <f t="shared" si="0"/>
        <v>3.2</v>
      </c>
      <c r="C28" s="2" t="s">
        <v>159</v>
      </c>
      <c r="D28" s="2" t="s">
        <v>123</v>
      </c>
      <c r="E28" t="str">
        <f>IF(COUNTIF($E$29:$E$31,"Parent")/COUNTA($E$29:$E$31)&gt;0.5,"Parent","Non-Parent")</f>
        <v>Parent</v>
      </c>
      <c r="G28" t="s">
        <v>195</v>
      </c>
      <c r="I28" t="s">
        <v>208</v>
      </c>
    </row>
    <row r="29" spans="1:9" ht="58.3" x14ac:dyDescent="0.4">
      <c r="A29" t="s">
        <v>53</v>
      </c>
      <c r="B29" t="str">
        <f t="shared" si="0"/>
        <v>3.2.1</v>
      </c>
      <c r="C29" s="2" t="s">
        <v>160</v>
      </c>
      <c r="D29" s="2" t="s">
        <v>91</v>
      </c>
      <c r="E29" t="s">
        <v>187</v>
      </c>
      <c r="G29" t="s">
        <v>195</v>
      </c>
      <c r="I29" t="s">
        <v>208</v>
      </c>
    </row>
    <row r="30" spans="1:9" ht="43.75" x14ac:dyDescent="0.4">
      <c r="A30" t="s">
        <v>54</v>
      </c>
      <c r="B30" t="str">
        <f t="shared" si="0"/>
        <v>3.2.2</v>
      </c>
      <c r="C30" s="2" t="s">
        <v>161</v>
      </c>
      <c r="D30" s="2" t="s">
        <v>83</v>
      </c>
      <c r="E30" t="s">
        <v>187</v>
      </c>
      <c r="G30" t="s">
        <v>195</v>
      </c>
      <c r="I30" t="s">
        <v>208</v>
      </c>
    </row>
    <row r="31" spans="1:9" ht="29.15" x14ac:dyDescent="0.4">
      <c r="A31" t="s">
        <v>55</v>
      </c>
      <c r="B31" t="str">
        <f t="shared" si="0"/>
        <v>3.2.3</v>
      </c>
      <c r="C31" s="2" t="s">
        <v>162</v>
      </c>
      <c r="D31" s="2" t="s">
        <v>92</v>
      </c>
      <c r="E31" t="s">
        <v>188</v>
      </c>
      <c r="G31" t="s">
        <v>196</v>
      </c>
    </row>
    <row r="32" spans="1:9" x14ac:dyDescent="0.4">
      <c r="A32" t="s">
        <v>22</v>
      </c>
      <c r="B32" t="str">
        <f t="shared" ref="B32:B49" si="1">LEFT(A32, FIND(" ",A32) - 1)</f>
        <v>QA4</v>
      </c>
      <c r="C32" s="2" t="s">
        <v>73</v>
      </c>
      <c r="D32" s="2" t="s">
        <v>129</v>
      </c>
      <c r="E32" t="str">
        <f>IF(COUNTIF($E$33:$E$38,"Parent")/COUNTA($E$33:$E$38)&gt;0.5,"Parent","Non-Parent")</f>
        <v>Parent</v>
      </c>
    </row>
    <row r="33" spans="1:9" ht="29.15" x14ac:dyDescent="0.4">
      <c r="A33" t="s">
        <v>23</v>
      </c>
      <c r="B33" t="str">
        <f t="shared" si="1"/>
        <v>4.1</v>
      </c>
      <c r="C33" s="2" t="s">
        <v>163</v>
      </c>
      <c r="D33" s="2" t="s">
        <v>93</v>
      </c>
      <c r="E33" t="str">
        <f>IF(COUNTIF($E$34:$E$35,"Parent")/COUNTA($E$34:$E$35)&gt;0.5,"Parent","Non-Parent")</f>
        <v>Non-Parent</v>
      </c>
      <c r="G33" t="s">
        <v>195</v>
      </c>
      <c r="I33" t="s">
        <v>209</v>
      </c>
    </row>
    <row r="34" spans="1:9" ht="29.15" x14ac:dyDescent="0.4">
      <c r="A34" t="s">
        <v>56</v>
      </c>
      <c r="B34" t="str">
        <f t="shared" si="1"/>
        <v>4.1.1</v>
      </c>
      <c r="C34" s="2" t="s">
        <v>164</v>
      </c>
      <c r="D34" s="2" t="s">
        <v>109</v>
      </c>
      <c r="E34" t="s">
        <v>188</v>
      </c>
      <c r="G34" t="s">
        <v>195</v>
      </c>
      <c r="I34" t="s">
        <v>209</v>
      </c>
    </row>
    <row r="35" spans="1:9" ht="29.15" x14ac:dyDescent="0.4">
      <c r="A35" t="s">
        <v>57</v>
      </c>
      <c r="B35" t="str">
        <f t="shared" si="1"/>
        <v>4.1.2</v>
      </c>
      <c r="C35" s="2" t="s">
        <v>165</v>
      </c>
      <c r="D35" s="2" t="s">
        <v>110</v>
      </c>
      <c r="E35" t="s">
        <v>187</v>
      </c>
      <c r="G35" t="s">
        <v>195</v>
      </c>
      <c r="I35" t="s">
        <v>210</v>
      </c>
    </row>
    <row r="36" spans="1:9" ht="29.15" x14ac:dyDescent="0.4">
      <c r="A36" t="s">
        <v>24</v>
      </c>
      <c r="B36" t="str">
        <f t="shared" si="1"/>
        <v>4.2</v>
      </c>
      <c r="C36" s="2" t="s">
        <v>166</v>
      </c>
      <c r="D36" s="2" t="s">
        <v>124</v>
      </c>
      <c r="E36" t="s">
        <v>187</v>
      </c>
      <c r="G36" t="s">
        <v>196</v>
      </c>
      <c r="I36" t="s">
        <v>210</v>
      </c>
    </row>
    <row r="37" spans="1:9" ht="58.3" x14ac:dyDescent="0.4">
      <c r="A37" t="s">
        <v>58</v>
      </c>
      <c r="B37" t="str">
        <f t="shared" si="1"/>
        <v>4.2.1</v>
      </c>
      <c r="C37" s="2" t="s">
        <v>167</v>
      </c>
      <c r="D37" s="2" t="s">
        <v>94</v>
      </c>
      <c r="E37" t="s">
        <v>187</v>
      </c>
      <c r="G37" t="s">
        <v>196</v>
      </c>
      <c r="I37" t="s">
        <v>211</v>
      </c>
    </row>
    <row r="38" spans="1:9" ht="29.15" x14ac:dyDescent="0.4">
      <c r="A38" t="s">
        <v>25</v>
      </c>
      <c r="B38" t="str">
        <f t="shared" si="1"/>
        <v>4.2.2</v>
      </c>
      <c r="C38" s="2" t="s">
        <v>168</v>
      </c>
      <c r="D38" s="2" t="s">
        <v>95</v>
      </c>
      <c r="E38" t="s">
        <v>187</v>
      </c>
      <c r="G38" t="s">
        <v>196</v>
      </c>
      <c r="I38" t="s">
        <v>211</v>
      </c>
    </row>
    <row r="39" spans="1:9" x14ac:dyDescent="0.4">
      <c r="A39" t="s">
        <v>26</v>
      </c>
      <c r="B39" t="str">
        <f t="shared" si="1"/>
        <v>QA5</v>
      </c>
      <c r="C39" s="2" t="s">
        <v>74</v>
      </c>
      <c r="D39" s="2" t="s">
        <v>129</v>
      </c>
      <c r="E39" t="str">
        <f>IF(COUNTIF($E$40:$E$45,"Parent")/COUNTA($E$40:$E$45)&gt;0.5,"Parent","Non-Parent")</f>
        <v>Non-Parent</v>
      </c>
      <c r="I39" t="s">
        <v>191</v>
      </c>
    </row>
    <row r="40" spans="1:9" ht="29.15" x14ac:dyDescent="0.4">
      <c r="A40" t="s">
        <v>59</v>
      </c>
      <c r="B40" t="str">
        <f t="shared" si="1"/>
        <v>5.1</v>
      </c>
      <c r="C40" s="2" t="s">
        <v>132</v>
      </c>
      <c r="D40" s="2" t="s">
        <v>27</v>
      </c>
      <c r="E40" t="str">
        <f>IF(COUNTIF($E$41:$E$42,"Parent")/COUNTA($E$41:$E$42)&gt;0.5,"Parent","Non-Parent")</f>
        <v>Non-Parent</v>
      </c>
      <c r="G40" t="s">
        <v>195</v>
      </c>
      <c r="I40" t="s">
        <v>212</v>
      </c>
    </row>
    <row r="41" spans="1:9" ht="43.75" x14ac:dyDescent="0.4">
      <c r="A41" t="s">
        <v>60</v>
      </c>
      <c r="B41" t="str">
        <f t="shared" si="1"/>
        <v>5.1.1</v>
      </c>
      <c r="C41" s="2" t="s">
        <v>133</v>
      </c>
      <c r="D41" s="2" t="s">
        <v>134</v>
      </c>
      <c r="E41" t="s">
        <v>188</v>
      </c>
      <c r="G41" t="s">
        <v>195</v>
      </c>
      <c r="I41" t="s">
        <v>212</v>
      </c>
    </row>
    <row r="42" spans="1:9" x14ac:dyDescent="0.4">
      <c r="A42" t="s">
        <v>28</v>
      </c>
      <c r="B42" t="str">
        <f t="shared" si="1"/>
        <v>5.1.2</v>
      </c>
      <c r="C42" s="2" t="s">
        <v>135</v>
      </c>
      <c r="D42" s="2" t="s">
        <v>136</v>
      </c>
      <c r="E42" t="s">
        <v>188</v>
      </c>
      <c r="G42" t="s">
        <v>195</v>
      </c>
      <c r="I42" t="s">
        <v>212</v>
      </c>
    </row>
    <row r="43" spans="1:9" ht="29.15" x14ac:dyDescent="0.4">
      <c r="A43" t="s">
        <v>29</v>
      </c>
      <c r="B43" t="str">
        <f t="shared" si="1"/>
        <v>5.2</v>
      </c>
      <c r="C43" s="2" t="s">
        <v>169</v>
      </c>
      <c r="D43" s="2" t="s">
        <v>111</v>
      </c>
      <c r="E43" t="str">
        <f>IF(COUNTIF($E$44:$E$45,"Parent")/COUNTA($E$44:$E$45)&gt;0.5,"Parent","Non-Parent")</f>
        <v>Non-Parent</v>
      </c>
      <c r="G43" t="s">
        <v>195</v>
      </c>
      <c r="I43" t="s">
        <v>212</v>
      </c>
    </row>
    <row r="44" spans="1:9" ht="29.15" x14ac:dyDescent="0.4">
      <c r="A44" t="s">
        <v>30</v>
      </c>
      <c r="B44" t="str">
        <f t="shared" si="1"/>
        <v>5.2.1</v>
      </c>
      <c r="C44" s="2" t="s">
        <v>170</v>
      </c>
      <c r="D44" s="2" t="s">
        <v>96</v>
      </c>
      <c r="E44" t="s">
        <v>188</v>
      </c>
      <c r="G44" t="s">
        <v>195</v>
      </c>
      <c r="I44" t="s">
        <v>212</v>
      </c>
    </row>
    <row r="45" spans="1:9" ht="58.3" x14ac:dyDescent="0.4">
      <c r="A45" t="s">
        <v>61</v>
      </c>
      <c r="B45" t="str">
        <f t="shared" si="1"/>
        <v>5.2.2</v>
      </c>
      <c r="C45" s="2" t="s">
        <v>171</v>
      </c>
      <c r="D45" s="2" t="s">
        <v>125</v>
      </c>
      <c r="E45" t="s">
        <v>188</v>
      </c>
      <c r="G45" t="s">
        <v>195</v>
      </c>
      <c r="I45" t="s">
        <v>212</v>
      </c>
    </row>
    <row r="46" spans="1:9" ht="29.15" x14ac:dyDescent="0.4">
      <c r="A46" t="s">
        <v>31</v>
      </c>
      <c r="B46" t="str">
        <f t="shared" si="1"/>
        <v>QA6</v>
      </c>
      <c r="C46" s="2" t="s">
        <v>75</v>
      </c>
      <c r="D46" s="2" t="s">
        <v>129</v>
      </c>
      <c r="E46" t="str">
        <f>IF(COUNTIF($E$47:$E$54,"Parent")/COUNTA($E$47:$E$54)&gt;0.5,"Parent","Non-Parent")</f>
        <v>Parent</v>
      </c>
      <c r="F46" t="s">
        <v>190</v>
      </c>
      <c r="I46" t="s">
        <v>213</v>
      </c>
    </row>
    <row r="47" spans="1:9" ht="43.75" x14ac:dyDescent="0.4">
      <c r="A47" t="s">
        <v>62</v>
      </c>
      <c r="B47" t="str">
        <f t="shared" si="1"/>
        <v>6.1</v>
      </c>
      <c r="C47" s="2" t="s">
        <v>172</v>
      </c>
      <c r="D47" s="2" t="s">
        <v>84</v>
      </c>
      <c r="E47" t="str">
        <f>IF(COUNTIF($E$48:$E$50,"Parent")/COUNTA($E$48:$E$50)&gt;0.5,"Parent","Non-Parent")</f>
        <v>Parent</v>
      </c>
      <c r="G47" t="s">
        <v>196</v>
      </c>
      <c r="I47" t="s">
        <v>213</v>
      </c>
    </row>
    <row r="48" spans="1:9" ht="43.75" x14ac:dyDescent="0.4">
      <c r="A48" t="s">
        <v>63</v>
      </c>
      <c r="B48" t="str">
        <f t="shared" si="1"/>
        <v>6.1.1</v>
      </c>
      <c r="C48" s="2" t="s">
        <v>137</v>
      </c>
      <c r="D48" s="2" t="s">
        <v>138</v>
      </c>
      <c r="E48" t="s">
        <v>187</v>
      </c>
      <c r="G48" t="s">
        <v>196</v>
      </c>
      <c r="I48" t="s">
        <v>213</v>
      </c>
    </row>
    <row r="49" spans="1:9" ht="58.3" x14ac:dyDescent="0.4">
      <c r="A49" t="s">
        <v>64</v>
      </c>
      <c r="B49" t="str">
        <f t="shared" si="1"/>
        <v>6.1.2</v>
      </c>
      <c r="C49" s="2" t="s">
        <v>173</v>
      </c>
      <c r="D49" s="2" t="s">
        <v>85</v>
      </c>
      <c r="E49" t="s">
        <v>187</v>
      </c>
      <c r="G49" t="s">
        <v>196</v>
      </c>
      <c r="I49" t="s">
        <v>213</v>
      </c>
    </row>
    <row r="50" spans="1:9" ht="58.3" x14ac:dyDescent="0.4">
      <c r="A50" t="s">
        <v>65</v>
      </c>
      <c r="B50" t="str">
        <f t="shared" ref="B50:B63" si="2">LEFT(A50, FIND(" ",A50) - 1)</f>
        <v>6.1.3</v>
      </c>
      <c r="C50" s="2" t="s">
        <v>174</v>
      </c>
      <c r="D50" s="2" t="s">
        <v>112</v>
      </c>
      <c r="E50" t="s">
        <v>187</v>
      </c>
      <c r="G50" t="s">
        <v>196</v>
      </c>
      <c r="I50" t="s">
        <v>213</v>
      </c>
    </row>
    <row r="51" spans="1:9" ht="29.15" x14ac:dyDescent="0.4">
      <c r="A51" t="s">
        <v>32</v>
      </c>
      <c r="B51" t="str">
        <f t="shared" si="2"/>
        <v>6.2</v>
      </c>
      <c r="C51" s="2" t="s">
        <v>175</v>
      </c>
      <c r="D51" s="2" t="s">
        <v>97</v>
      </c>
      <c r="E51" t="str">
        <f>IF(COUNTIF($E$52:$E$54,"Parent")/COUNTA($E$52:$E$54)&gt;0.5,"Parent","Non-Parent")</f>
        <v>Parent</v>
      </c>
      <c r="G51" t="s">
        <v>196</v>
      </c>
      <c r="I51" t="s">
        <v>213</v>
      </c>
    </row>
    <row r="52" spans="1:9" ht="43.75" x14ac:dyDescent="0.4">
      <c r="A52" t="s">
        <v>66</v>
      </c>
      <c r="B52" t="str">
        <f t="shared" si="2"/>
        <v>6.2.1</v>
      </c>
      <c r="C52" s="2" t="s">
        <v>176</v>
      </c>
      <c r="D52" s="2" t="s">
        <v>126</v>
      </c>
      <c r="E52" t="s">
        <v>187</v>
      </c>
      <c r="G52" t="s">
        <v>195</v>
      </c>
      <c r="I52" t="s">
        <v>213</v>
      </c>
    </row>
    <row r="53" spans="1:9" ht="29.15" x14ac:dyDescent="0.4">
      <c r="A53" t="s">
        <v>72</v>
      </c>
      <c r="B53" t="str">
        <f t="shared" si="2"/>
        <v>6.2.2</v>
      </c>
      <c r="C53" s="2" t="s">
        <v>177</v>
      </c>
      <c r="D53" s="2" t="s">
        <v>113</v>
      </c>
      <c r="E53" t="s">
        <v>188</v>
      </c>
      <c r="G53" t="s">
        <v>195</v>
      </c>
      <c r="I53" t="s">
        <v>213</v>
      </c>
    </row>
    <row r="54" spans="1:9" ht="29.15" x14ac:dyDescent="0.4">
      <c r="A54" t="s">
        <v>33</v>
      </c>
      <c r="B54" t="str">
        <f t="shared" si="2"/>
        <v>6.2.3</v>
      </c>
      <c r="C54" s="2" t="s">
        <v>178</v>
      </c>
      <c r="D54" s="2" t="s">
        <v>98</v>
      </c>
      <c r="E54" t="s">
        <v>187</v>
      </c>
      <c r="G54" t="s">
        <v>196</v>
      </c>
      <c r="I54" t="s">
        <v>213</v>
      </c>
    </row>
    <row r="55" spans="1:9" x14ac:dyDescent="0.4">
      <c r="A55" t="s">
        <v>34</v>
      </c>
      <c r="B55" t="str">
        <f t="shared" si="2"/>
        <v>QA7</v>
      </c>
      <c r="C55" s="2" t="s">
        <v>76</v>
      </c>
      <c r="D55" s="2"/>
      <c r="E55" t="str">
        <f>IF(COUNTIF($E$56:$E$63,"Parent")/COUNTA($E$56:$E$63)&gt;0.5,"Parent","Non-Parent")</f>
        <v>Non-Parent</v>
      </c>
    </row>
    <row r="56" spans="1:9" ht="29.15" x14ac:dyDescent="0.4">
      <c r="A56" t="s">
        <v>35</v>
      </c>
      <c r="B56" t="str">
        <f t="shared" si="2"/>
        <v>7.1</v>
      </c>
      <c r="C56" s="2" t="s">
        <v>179</v>
      </c>
      <c r="D56" s="2" t="s">
        <v>127</v>
      </c>
      <c r="E56" t="str">
        <f>IF(COUNTIF($E$57:$E$59,"Parent")/COUNTA($E$57:$E$59)&gt;0.5,"Parent","Non-Parent")</f>
        <v>Non-Parent</v>
      </c>
      <c r="G56" t="s">
        <v>196</v>
      </c>
      <c r="I56" t="s">
        <v>219</v>
      </c>
    </row>
    <row r="57" spans="1:9" ht="29.15" x14ac:dyDescent="0.4">
      <c r="A57" t="s">
        <v>36</v>
      </c>
      <c r="B57" t="str">
        <f t="shared" si="2"/>
        <v>7.1.1</v>
      </c>
      <c r="C57" s="2" t="s">
        <v>180</v>
      </c>
      <c r="D57" s="2" t="s">
        <v>86</v>
      </c>
      <c r="E57" t="s">
        <v>187</v>
      </c>
      <c r="G57" t="s">
        <v>196</v>
      </c>
      <c r="I57" t="s">
        <v>214</v>
      </c>
    </row>
    <row r="58" spans="1:9" ht="43.75" x14ac:dyDescent="0.4">
      <c r="A58" t="s">
        <v>67</v>
      </c>
      <c r="B58" t="str">
        <f t="shared" si="2"/>
        <v>7.1.2</v>
      </c>
      <c r="C58" s="2" t="s">
        <v>181</v>
      </c>
      <c r="D58" s="2" t="s">
        <v>99</v>
      </c>
      <c r="E58" t="s">
        <v>188</v>
      </c>
      <c r="G58" t="s">
        <v>196</v>
      </c>
      <c r="I58" t="s">
        <v>215</v>
      </c>
    </row>
    <row r="59" spans="1:9" ht="43.75" x14ac:dyDescent="0.4">
      <c r="A59" t="s">
        <v>68</v>
      </c>
      <c r="B59" t="str">
        <f t="shared" si="2"/>
        <v>7.1.3</v>
      </c>
      <c r="C59" s="2" t="s">
        <v>182</v>
      </c>
      <c r="D59" s="2" t="s">
        <v>114</v>
      </c>
      <c r="E59" t="s">
        <v>188</v>
      </c>
      <c r="G59" t="s">
        <v>196</v>
      </c>
      <c r="I59" t="s">
        <v>216</v>
      </c>
    </row>
    <row r="60" spans="1:9" ht="43.75" x14ac:dyDescent="0.4">
      <c r="A60" t="s">
        <v>69</v>
      </c>
      <c r="B60" t="str">
        <f t="shared" si="2"/>
        <v>7.2</v>
      </c>
      <c r="C60" s="2" t="s">
        <v>183</v>
      </c>
      <c r="D60" s="2" t="s">
        <v>128</v>
      </c>
      <c r="E60" t="str">
        <f>IF(COUNTIF($E$61:$E$63,"Parent")/COUNTA($E$61:$E$63)&gt;0.5,"Parent","Non-Parent")</f>
        <v>Non-Parent</v>
      </c>
      <c r="G60" t="s">
        <v>196</v>
      </c>
      <c r="I60" t="s">
        <v>216</v>
      </c>
    </row>
    <row r="61" spans="1:9" ht="29.15" x14ac:dyDescent="0.4">
      <c r="A61" t="s">
        <v>37</v>
      </c>
      <c r="B61" t="str">
        <f t="shared" si="2"/>
        <v>7.2.1</v>
      </c>
      <c r="C61" s="2" t="s">
        <v>184</v>
      </c>
      <c r="D61" s="2" t="s">
        <v>100</v>
      </c>
      <c r="E61" t="s">
        <v>188</v>
      </c>
      <c r="G61" t="s">
        <v>196</v>
      </c>
      <c r="I61" t="s">
        <v>217</v>
      </c>
    </row>
    <row r="62" spans="1:9" ht="58.3" x14ac:dyDescent="0.4">
      <c r="A62" t="s">
        <v>70</v>
      </c>
      <c r="B62" t="str">
        <f t="shared" si="2"/>
        <v>7.2.2</v>
      </c>
      <c r="C62" s="2" t="s">
        <v>185</v>
      </c>
      <c r="D62" s="2" t="s">
        <v>101</v>
      </c>
      <c r="E62" t="s">
        <v>188</v>
      </c>
      <c r="G62" t="s">
        <v>196</v>
      </c>
      <c r="I62" t="s">
        <v>218</v>
      </c>
    </row>
    <row r="63" spans="1:9" ht="58.3" x14ac:dyDescent="0.4">
      <c r="A63" t="s">
        <v>71</v>
      </c>
      <c r="B63" t="str">
        <f t="shared" si="2"/>
        <v>7.2.3</v>
      </c>
      <c r="C63" s="2" t="s">
        <v>186</v>
      </c>
      <c r="D63" s="2" t="s">
        <v>115</v>
      </c>
      <c r="E63" t="s">
        <v>188</v>
      </c>
      <c r="G63" t="s">
        <v>196</v>
      </c>
      <c r="I63" t="s">
        <v>217</v>
      </c>
    </row>
    <row r="65" spans="3:3" x14ac:dyDescent="0.4">
      <c r="C65" s="2">
        <f>63-15-7-1</f>
        <v>40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9b4440-5c41-4a30-9b1c-813696206b12">
      <Terms xmlns="http://schemas.microsoft.com/office/infopath/2007/PartnerControls"/>
    </lcf76f155ced4ddcb4097134ff3c332f>
    <TaxCatchAll xmlns="4898b404-def1-4baa-be3b-9a2b00b5c6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E2ADCCC10A6443ABD78B482A971E9B" ma:contentTypeVersion="10" ma:contentTypeDescription="Create a new document." ma:contentTypeScope="" ma:versionID="e627a10def866ce2966504b07b82774c">
  <xsd:schema xmlns:xsd="http://www.w3.org/2001/XMLSchema" xmlns:xs="http://www.w3.org/2001/XMLSchema" xmlns:p="http://schemas.microsoft.com/office/2006/metadata/properties" xmlns:ns2="be9b4440-5c41-4a30-9b1c-813696206b12" xmlns:ns3="4898b404-def1-4baa-be3b-9a2b00b5c609" targetNamespace="http://schemas.microsoft.com/office/2006/metadata/properties" ma:root="true" ma:fieldsID="cfc8b7adacb092f23d082020de509916" ns2:_="" ns3:_="">
    <xsd:import namespace="be9b4440-5c41-4a30-9b1c-813696206b12"/>
    <xsd:import namespace="4898b404-def1-4baa-be3b-9a2b00b5c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9b4440-5c41-4a30-9b1c-813696206b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b492977-2dea-498c-99b4-1555f3d0d9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8b404-def1-4baa-be3b-9a2b00b5c6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9a1220-5895-45f3-93b1-34268c05ddfd}" ma:internalName="TaxCatchAll" ma:showField="CatchAllData" ma:web="4898b404-def1-4baa-be3b-9a2b00b5c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C6C9BD-5D36-47DC-8233-85EC291DC9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58DBBC-0C58-4FBD-9F25-EBDFA0FA1617}">
  <ds:schemaRefs>
    <ds:schemaRef ds:uri="http://schemas.microsoft.com/office/2006/metadata/properties"/>
    <ds:schemaRef ds:uri="http://schemas.microsoft.com/office/infopath/2007/PartnerControls"/>
    <ds:schemaRef ds:uri="be9b4440-5c41-4a30-9b1c-813696206b12"/>
    <ds:schemaRef ds:uri="4898b404-def1-4baa-be3b-9a2b00b5c609"/>
  </ds:schemaRefs>
</ds:datastoreItem>
</file>

<file path=customXml/itemProps3.xml><?xml version="1.0" encoding="utf-8"?>
<ds:datastoreItem xmlns:ds="http://schemas.openxmlformats.org/officeDocument/2006/customXml" ds:itemID="{037922B3-85B2-462F-87FC-63E1A4BE5C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9b4440-5c41-4a30-9b1c-813696206b12"/>
    <ds:schemaRef ds:uri="4898b404-def1-4baa-be3b-9a2b00b5c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Dorothy Hou</dc:creator>
  <cp:lastModifiedBy>Dorothy Hou</cp:lastModifiedBy>
  <dcterms:created xsi:type="dcterms:W3CDTF">2026-08-05T08:46:51Z</dcterms:created>
  <dcterms:modified xsi:type="dcterms:W3CDTF">2026-10-21T12:22:18Z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0x010100BFE2ADCCC10A6443ABD78B482A971E9B</vt:lpwstr>
  </property>
  <property fmtid="{D5CDD505-2E9C-101B-9397-08002B2CF9AE}" pid="3" name="MediaServiceImageTags">
    <vt:lpwstr/>
  </property>
</Properties>
</file>